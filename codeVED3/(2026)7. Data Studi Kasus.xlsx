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23/Documents/16. MATA KULIAH/5. Visualisasi dan Eksplorasi Data/"/>
    </mc:Choice>
  </mc:AlternateContent>
  <xr:revisionPtr revIDLastSave="0" documentId="13_ncr:1_{E47AE35A-C217-EC4B-9049-21D9DD61B175}" xr6:coauthVersionLast="47" xr6:coauthVersionMax="47" xr10:uidLastSave="{00000000-0000-0000-0000-000000000000}"/>
  <bookViews>
    <workbookView xWindow="400" yWindow="500" windowWidth="33200" windowHeight="20500" xr2:uid="{EA9F2F9D-6F2E-A84F-B011-3B3729707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2" i="1"/>
  <c r="L3" i="1"/>
  <c r="L4" i="1"/>
  <c r="L5" i="1"/>
  <c r="L6" i="1"/>
  <c r="L7" i="1"/>
  <c r="L8" i="1"/>
  <c r="L9" i="1"/>
  <c r="L10" i="1"/>
  <c r="L2" i="1"/>
  <c r="K3" i="1"/>
  <c r="K4" i="1"/>
  <c r="K5" i="1"/>
  <c r="K6" i="1"/>
  <c r="K7" i="1"/>
  <c r="K8" i="1"/>
  <c r="K9" i="1"/>
  <c r="K10" i="1"/>
  <c r="K2" i="1"/>
</calcChain>
</file>

<file path=xl/sharedStrings.xml><?xml version="1.0" encoding="utf-8"?>
<sst xmlns="http://schemas.openxmlformats.org/spreadsheetml/2006/main" count="58" uniqueCount="34">
  <si>
    <t>Txn_ID</t>
  </si>
  <si>
    <t>Tanggal</t>
  </si>
  <si>
    <t>Produk_ID</t>
  </si>
  <si>
    <t>Kota</t>
  </si>
  <si>
    <t>Channel</t>
  </si>
  <si>
    <t>Qty</t>
  </si>
  <si>
    <t>Harga/unit</t>
  </si>
  <si>
    <t>Diskon</t>
  </si>
  <si>
    <t>Status</t>
  </si>
  <si>
    <t>T001</t>
  </si>
  <si>
    <t>P01</t>
  </si>
  <si>
    <t>Surakarta</t>
  </si>
  <si>
    <t>Store</t>
  </si>
  <si>
    <t>Selesai</t>
  </si>
  <si>
    <t>T002</t>
  </si>
  <si>
    <t>Solo</t>
  </si>
  <si>
    <t>T003</t>
  </si>
  <si>
    <t>P03</t>
  </si>
  <si>
    <t>Online</t>
  </si>
  <si>
    <t>T004</t>
  </si>
  <si>
    <t>Sukoharjo</t>
  </si>
  <si>
    <t>T005</t>
  </si>
  <si>
    <t>Return</t>
  </si>
  <si>
    <t>T006</t>
  </si>
  <si>
    <t>P02</t>
  </si>
  <si>
    <t>Cancel</t>
  </si>
  <si>
    <t>T007</t>
  </si>
  <si>
    <t>T008</t>
  </si>
  <si>
    <t>T009</t>
  </si>
  <si>
    <t>P04</t>
  </si>
  <si>
    <t>HPP</t>
  </si>
  <si>
    <t>laba</t>
  </si>
  <si>
    <t>DISKON</t>
  </si>
  <si>
    <t>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</si>
</sst>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20"/>
      <color rgb="FFFFFFFF"/>
      <name val="Calibri"/>
      <family val="2"/>
    </font>
    <font>
      <sz val="20"/>
      <color rgb="FF222222"/>
      <name val="Calibri"/>
      <family val="2"/>
    </font>
    <font>
      <sz val="20"/>
      <color rgb="FF222222"/>
      <name val="Calibri (Body)"/>
    </font>
    <font>
      <sz val="20"/>
      <color theme="1"/>
      <name val="Calibri"/>
      <family val="2"/>
      <scheme val="minor"/>
    </font>
    <font>
      <sz val="20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6E902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5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C78B-D173-344F-8618-0B2278A965E9}">
  <dimension ref="A1:M10"/>
  <sheetViews>
    <sheetView tabSelected="1" workbookViewId="0">
      <selection activeCell="L13" sqref="L13"/>
    </sheetView>
  </sheetViews>
  <sheetFormatPr baseColWidth="10" defaultRowHeight="16" x14ac:dyDescent="0.2"/>
  <cols>
    <col min="1" max="1" width="15.33203125" customWidth="1"/>
    <col min="2" max="2" width="12.1640625" bestFit="1" customWidth="1"/>
    <col min="3" max="3" width="16.33203125" bestFit="1" customWidth="1"/>
    <col min="4" max="4" width="15.5" bestFit="1" customWidth="1"/>
    <col min="5" max="5" width="13" bestFit="1" customWidth="1"/>
    <col min="6" max="6" width="6.5" bestFit="1" customWidth="1"/>
    <col min="7" max="7" width="17" bestFit="1" customWidth="1"/>
    <col min="8" max="8" width="11.1640625" bestFit="1" customWidth="1"/>
    <col min="9" max="9" width="11" bestFit="1" customWidth="1"/>
    <col min="10" max="10" width="11.6640625" bestFit="1" customWidth="1"/>
    <col min="11" max="11" width="15.83203125" bestFit="1" customWidth="1"/>
    <col min="12" max="12" width="17.83203125" bestFit="1" customWidth="1"/>
    <col min="13" max="13" width="18.83203125" customWidth="1"/>
  </cols>
  <sheetData>
    <row r="1" spans="1:13" ht="27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 ht="27" x14ac:dyDescent="0.3">
      <c r="A2" s="4" t="s">
        <v>9</v>
      </c>
      <c r="B2" s="5">
        <v>46030</v>
      </c>
      <c r="C2" s="4" t="s">
        <v>10</v>
      </c>
      <c r="D2" s="6" t="s">
        <v>11</v>
      </c>
      <c r="E2" s="4" t="s">
        <v>12</v>
      </c>
      <c r="F2" s="4">
        <v>8</v>
      </c>
      <c r="G2" s="7">
        <v>18000</v>
      </c>
      <c r="H2" s="8">
        <v>0</v>
      </c>
      <c r="I2" s="4" t="s">
        <v>13</v>
      </c>
      <c r="J2" s="9">
        <v>11000</v>
      </c>
      <c r="K2" s="10">
        <f>((100%-H2)*G2-J2)*F2</f>
        <v>56000</v>
      </c>
      <c r="L2" s="10">
        <f>(100%-H2)*G2*F2</f>
        <v>144000</v>
      </c>
      <c r="M2" s="10">
        <f>G2*F2</f>
        <v>144000</v>
      </c>
    </row>
    <row r="3" spans="1:13" ht="27" x14ac:dyDescent="0.3">
      <c r="A3" s="4" t="s">
        <v>14</v>
      </c>
      <c r="B3" s="5">
        <v>46030</v>
      </c>
      <c r="C3" s="4" t="s">
        <v>24</v>
      </c>
      <c r="D3" s="6" t="s">
        <v>15</v>
      </c>
      <c r="E3" s="4" t="s">
        <v>18</v>
      </c>
      <c r="F3" s="4">
        <v>6</v>
      </c>
      <c r="G3" s="7">
        <v>25000</v>
      </c>
      <c r="H3" s="8">
        <v>0.1</v>
      </c>
      <c r="I3" s="4" t="s">
        <v>13</v>
      </c>
      <c r="J3" s="11">
        <v>16000</v>
      </c>
      <c r="K3" s="10">
        <f t="shared" ref="K3:K10" si="0">((100%-H3)*G3-J3)*F3</f>
        <v>39000</v>
      </c>
      <c r="L3" s="10">
        <f t="shared" ref="L3:L10" si="1">(100%-H3)*G3*F3</f>
        <v>135000</v>
      </c>
      <c r="M3" s="10">
        <f t="shared" ref="M3:M10" si="2">G3*F3</f>
        <v>150000</v>
      </c>
    </row>
    <row r="4" spans="1:13" ht="27" x14ac:dyDescent="0.3">
      <c r="A4" s="4" t="s">
        <v>16</v>
      </c>
      <c r="B4" s="5">
        <v>46061</v>
      </c>
      <c r="C4" s="4" t="s">
        <v>17</v>
      </c>
      <c r="D4" s="6" t="s">
        <v>11</v>
      </c>
      <c r="E4" s="4" t="s">
        <v>18</v>
      </c>
      <c r="F4" s="4">
        <v>4</v>
      </c>
      <c r="G4" s="7">
        <v>30000</v>
      </c>
      <c r="H4" s="8">
        <v>0.1</v>
      </c>
      <c r="I4" s="4" t="s">
        <v>13</v>
      </c>
      <c r="J4" s="11">
        <v>18500</v>
      </c>
      <c r="K4" s="10">
        <f t="shared" si="0"/>
        <v>34000</v>
      </c>
      <c r="L4" s="10">
        <f t="shared" si="1"/>
        <v>108000</v>
      </c>
      <c r="M4" s="10">
        <f t="shared" si="2"/>
        <v>120000</v>
      </c>
    </row>
    <row r="5" spans="1:13" ht="27" x14ac:dyDescent="0.3">
      <c r="A5" s="4" t="s">
        <v>19</v>
      </c>
      <c r="B5" s="5">
        <v>46061</v>
      </c>
      <c r="C5" s="4" t="s">
        <v>10</v>
      </c>
      <c r="D5" s="6" t="s">
        <v>20</v>
      </c>
      <c r="E5" s="4" t="s">
        <v>12</v>
      </c>
      <c r="F5" s="4">
        <v>10</v>
      </c>
      <c r="G5" s="7">
        <v>18000</v>
      </c>
      <c r="H5" s="8">
        <v>0</v>
      </c>
      <c r="I5" s="4" t="s">
        <v>13</v>
      </c>
      <c r="J5" s="11">
        <v>11000</v>
      </c>
      <c r="K5" s="10">
        <f t="shared" si="0"/>
        <v>70000</v>
      </c>
      <c r="L5" s="10">
        <f t="shared" si="1"/>
        <v>180000</v>
      </c>
      <c r="M5" s="10">
        <f t="shared" si="2"/>
        <v>180000</v>
      </c>
    </row>
    <row r="6" spans="1:13" ht="27" x14ac:dyDescent="0.3">
      <c r="A6" s="4" t="s">
        <v>21</v>
      </c>
      <c r="B6" s="5">
        <v>46089</v>
      </c>
      <c r="C6" s="4" t="s">
        <v>29</v>
      </c>
      <c r="D6" s="6" t="s">
        <v>15</v>
      </c>
      <c r="E6" s="4" t="s">
        <v>18</v>
      </c>
      <c r="F6" s="4">
        <v>5</v>
      </c>
      <c r="G6" s="7">
        <v>22000</v>
      </c>
      <c r="H6" s="8">
        <v>0.05</v>
      </c>
      <c r="I6" s="4" t="s">
        <v>22</v>
      </c>
      <c r="J6" s="9">
        <v>13500</v>
      </c>
      <c r="K6" s="10">
        <f t="shared" si="0"/>
        <v>37000</v>
      </c>
      <c r="L6" s="10">
        <f t="shared" si="1"/>
        <v>104500</v>
      </c>
      <c r="M6" s="10">
        <f t="shared" si="2"/>
        <v>110000</v>
      </c>
    </row>
    <row r="7" spans="1:13" ht="27" x14ac:dyDescent="0.3">
      <c r="A7" s="4" t="s">
        <v>23</v>
      </c>
      <c r="B7" s="5">
        <v>46089</v>
      </c>
      <c r="C7" s="4" t="s">
        <v>24</v>
      </c>
      <c r="D7" s="6" t="s">
        <v>11</v>
      </c>
      <c r="E7" s="4" t="s">
        <v>12</v>
      </c>
      <c r="F7" s="4">
        <v>3</v>
      </c>
      <c r="G7" s="7">
        <v>25000</v>
      </c>
      <c r="H7" s="4">
        <v>0</v>
      </c>
      <c r="I7" s="4" t="s">
        <v>25</v>
      </c>
      <c r="J7" s="9">
        <v>16000</v>
      </c>
      <c r="K7" s="10">
        <f t="shared" si="0"/>
        <v>27000</v>
      </c>
      <c r="L7" s="10">
        <f t="shared" si="1"/>
        <v>75000</v>
      </c>
      <c r="M7" s="10">
        <f t="shared" si="2"/>
        <v>75000</v>
      </c>
    </row>
    <row r="8" spans="1:13" ht="27" x14ac:dyDescent="0.3">
      <c r="A8" s="4" t="s">
        <v>26</v>
      </c>
      <c r="B8" s="5">
        <v>46120</v>
      </c>
      <c r="C8" s="4" t="s">
        <v>17</v>
      </c>
      <c r="D8" s="6" t="s">
        <v>20</v>
      </c>
      <c r="E8" s="4" t="s">
        <v>18</v>
      </c>
      <c r="F8" s="4">
        <v>40</v>
      </c>
      <c r="G8" s="7">
        <v>30000</v>
      </c>
      <c r="H8" s="8">
        <v>0</v>
      </c>
      <c r="I8" s="4" t="s">
        <v>13</v>
      </c>
      <c r="J8" s="11">
        <v>18500</v>
      </c>
      <c r="K8" s="10">
        <f t="shared" si="0"/>
        <v>460000</v>
      </c>
      <c r="L8" s="10">
        <f t="shared" si="1"/>
        <v>1200000</v>
      </c>
      <c r="M8" s="10">
        <f t="shared" si="2"/>
        <v>1200000</v>
      </c>
    </row>
    <row r="9" spans="1:13" ht="27" x14ac:dyDescent="0.3">
      <c r="A9" s="4" t="s">
        <v>27</v>
      </c>
      <c r="B9" s="5">
        <v>46120</v>
      </c>
      <c r="C9" s="4" t="s">
        <v>10</v>
      </c>
      <c r="D9" s="6" t="s">
        <v>15</v>
      </c>
      <c r="E9" s="4" t="s">
        <v>18</v>
      </c>
      <c r="F9" s="4">
        <v>7</v>
      </c>
      <c r="G9" s="7">
        <v>18000</v>
      </c>
      <c r="H9" s="8">
        <v>0.1</v>
      </c>
      <c r="I9" s="4" t="s">
        <v>13</v>
      </c>
      <c r="J9" s="11">
        <v>11000</v>
      </c>
      <c r="K9" s="10">
        <f t="shared" si="0"/>
        <v>36400</v>
      </c>
      <c r="L9" s="10">
        <f t="shared" si="1"/>
        <v>113400</v>
      </c>
      <c r="M9" s="10">
        <f t="shared" si="2"/>
        <v>126000</v>
      </c>
    </row>
    <row r="10" spans="1:13" ht="27" x14ac:dyDescent="0.3">
      <c r="A10" s="4" t="s">
        <v>28</v>
      </c>
      <c r="B10" s="5">
        <v>46150</v>
      </c>
      <c r="C10" s="4" t="s">
        <v>29</v>
      </c>
      <c r="D10" s="6" t="s">
        <v>20</v>
      </c>
      <c r="E10" s="4" t="s">
        <v>12</v>
      </c>
      <c r="F10" s="4">
        <v>1</v>
      </c>
      <c r="G10" s="7">
        <v>22000</v>
      </c>
      <c r="H10" s="8">
        <v>0</v>
      </c>
      <c r="I10" s="4" t="s">
        <v>13</v>
      </c>
      <c r="J10" s="11">
        <v>13500</v>
      </c>
      <c r="K10" s="10">
        <f t="shared" si="0"/>
        <v>8500</v>
      </c>
      <c r="L10" s="10">
        <f t="shared" si="1"/>
        <v>22000</v>
      </c>
      <c r="M10" s="10">
        <f t="shared" si="2"/>
        <v>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2026-09-01T18:08:03Z</dcterms:created>
  <dcterms:modified xsi:type="dcterms:W3CDTF">2026-10-19T03:53:43Z</dcterms:modified>
</cp:coreProperties>
</file>